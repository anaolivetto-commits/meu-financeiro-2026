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Financeira Mensal" sheetId="1" r:id="rId4"/>
    <sheet state="visible" name="dívidas" sheetId="2" r:id="rId5"/>
    <sheet state="visible" name="METAS" sheetId="3" r:id="rId6"/>
  </sheets>
  <definedNames/>
  <calcPr/>
  <extLst>
    <ext uri="GoogleSheetsCustomDataVersion2">
      <go:sheetsCustomData xmlns:go="http://customooxmlschemas.google.com/" r:id="rId7" roundtripDataChecksum="7BYma63JO9vOiXECJvO6NzZi8fTlFSxY2Lysk8a2IbI="/>
    </ext>
  </extLst>
</workbook>
</file>

<file path=xl/sharedStrings.xml><?xml version="1.0" encoding="utf-8"?>
<sst xmlns="http://schemas.openxmlformats.org/spreadsheetml/2006/main" count="72" uniqueCount="66">
  <si>
    <t>PLANILHA DE CONTROLE FINANCEIRO</t>
  </si>
  <si>
    <t>Atualizada em 07/03/2023</t>
  </si>
  <si>
    <t>ENTRADAS</t>
  </si>
  <si>
    <t>DESPESAS</t>
  </si>
  <si>
    <t>DESCRIÇÃO</t>
  </si>
  <si>
    <t>VALOR</t>
  </si>
  <si>
    <t>VALOR MÉDIO</t>
  </si>
  <si>
    <r>
      <rPr>
        <rFont val="Calibri"/>
        <color theme="1"/>
        <sz val="11.0"/>
      </rPr>
      <t xml:space="preserve">SALÁRIO LÍQUIDO DE  </t>
    </r>
    <r>
      <rPr>
        <rFont val="Calibri"/>
        <i/>
        <color theme="1"/>
        <sz val="9.0"/>
      </rPr>
      <t>[INSIRA O NOME DA PESSOA 01]</t>
    </r>
  </si>
  <si>
    <t>ESSENCIAIS</t>
  </si>
  <si>
    <r>
      <rPr>
        <rFont val="Calibri"/>
        <color theme="1"/>
        <sz val="11.0"/>
      </rPr>
      <t xml:space="preserve">MORADIA </t>
    </r>
    <r>
      <rPr>
        <rFont val="Calibri"/>
        <i/>
        <color theme="1"/>
        <sz val="9.0"/>
      </rPr>
      <t>(ALUGUEL/FINANCIAMENTO)</t>
    </r>
  </si>
  <si>
    <r>
      <rPr>
        <rFont val="Calibri"/>
        <color theme="1"/>
        <sz val="11.0"/>
      </rPr>
      <t xml:space="preserve">VALE-ALIMENTAÇÃO DE  </t>
    </r>
    <r>
      <rPr>
        <rFont val="Calibri"/>
        <i/>
        <color theme="1"/>
        <sz val="9.0"/>
      </rPr>
      <t>[INSIRA O NOME DA PESSOA 01]</t>
    </r>
  </si>
  <si>
    <t>CONDOMÍNIO</t>
  </si>
  <si>
    <r>
      <rPr>
        <rFont val="Calibri"/>
        <color theme="1"/>
        <sz val="11.0"/>
      </rPr>
      <t xml:space="preserve">VALE-REFEIÇÃO DE </t>
    </r>
    <r>
      <rPr>
        <rFont val="Calibri"/>
        <color theme="1"/>
        <sz val="9.0"/>
      </rPr>
      <t xml:space="preserve"> </t>
    </r>
    <r>
      <rPr>
        <rFont val="Calibri"/>
        <i/>
        <color theme="1"/>
        <sz val="9.0"/>
      </rPr>
      <t>[INSIRA O NOME DA PESSOA 01]</t>
    </r>
  </si>
  <si>
    <r>
      <rPr>
        <rFont val="Calibri"/>
        <color theme="1"/>
        <sz val="11.0"/>
      </rPr>
      <t xml:space="preserve">SUPERMERCADO </t>
    </r>
    <r>
      <rPr>
        <rFont val="Calibri"/>
        <i/>
        <color theme="1"/>
        <sz val="9.0"/>
      </rPr>
      <t>(VALOR MÉDIO)</t>
    </r>
  </si>
  <si>
    <r>
      <rPr>
        <rFont val="Calibri"/>
        <color theme="1"/>
        <sz val="11.0"/>
      </rPr>
      <t xml:space="preserve">SALÁRIO LÍQUIDO DE </t>
    </r>
    <r>
      <rPr>
        <rFont val="Calibri"/>
        <color theme="1"/>
        <sz val="9.0"/>
      </rPr>
      <t xml:space="preserve"> </t>
    </r>
    <r>
      <rPr>
        <rFont val="Calibri"/>
        <i/>
        <color theme="1"/>
        <sz val="9.0"/>
      </rPr>
      <t>[INSIRA O NOME DA PESSOA 02]</t>
    </r>
  </si>
  <si>
    <t xml:space="preserve">ÁGUA </t>
  </si>
  <si>
    <r>
      <rPr>
        <rFont val="Calibri"/>
        <color theme="1"/>
        <sz val="11.0"/>
      </rPr>
      <t xml:space="preserve">VALE-ALIMENTAÇÃO DE  </t>
    </r>
    <r>
      <rPr>
        <rFont val="Calibri"/>
        <i/>
        <color theme="1"/>
        <sz val="9.0"/>
      </rPr>
      <t>[INSIRA O NOME DA PESSOA 02]</t>
    </r>
  </si>
  <si>
    <t xml:space="preserve">LUZ </t>
  </si>
  <si>
    <r>
      <rPr>
        <rFont val="Calibri"/>
        <color theme="1"/>
        <sz val="11.0"/>
      </rPr>
      <t xml:space="preserve">VALE-REFEIÇÃO DE  </t>
    </r>
    <r>
      <rPr>
        <rFont val="Calibri"/>
        <i/>
        <color theme="1"/>
        <sz val="9.0"/>
      </rPr>
      <t>[INSIRA O NOME DA PESSOA 02]</t>
    </r>
  </si>
  <si>
    <t xml:space="preserve">GÁS </t>
  </si>
  <si>
    <r>
      <rPr>
        <rFont val="Calibri"/>
        <color theme="1"/>
        <sz val="11.0"/>
      </rPr>
      <t xml:space="preserve">OUTRAS ENTRADAS 01  </t>
    </r>
    <r>
      <rPr>
        <rFont val="Calibri"/>
        <i/>
        <color theme="1"/>
        <sz val="9.0"/>
      </rPr>
      <t>FREELANCES</t>
    </r>
  </si>
  <si>
    <t xml:space="preserve">IPTU </t>
  </si>
  <si>
    <r>
      <rPr>
        <rFont val="Calibri"/>
        <color theme="1"/>
        <sz val="11.0"/>
      </rPr>
      <t xml:space="preserve">OUTRAS ENTRADAS 02  </t>
    </r>
    <r>
      <rPr>
        <rFont val="Calibri"/>
        <i/>
        <color theme="1"/>
        <sz val="9.0"/>
      </rPr>
      <t>CONSULTORIA</t>
    </r>
  </si>
  <si>
    <r>
      <rPr>
        <rFont val="Calibri"/>
        <color theme="1"/>
        <sz val="11.0"/>
      </rPr>
      <t>PLANO DE SAÚDE</t>
    </r>
    <r>
      <rPr>
        <rFont val="Calibri"/>
        <i/>
        <color theme="1"/>
        <sz val="10.0"/>
      </rPr>
      <t xml:space="preserve"> </t>
    </r>
  </si>
  <si>
    <r>
      <rPr>
        <rFont val="Calibri"/>
        <color theme="1"/>
        <sz val="11.0"/>
      </rPr>
      <t xml:space="preserve">OUTRAS ENTRADAS 03  </t>
    </r>
    <r>
      <rPr>
        <rFont val="Calibri"/>
        <i/>
        <color theme="1"/>
        <sz val="9.0"/>
      </rPr>
      <t>(ALUGUEL, AULAS...)</t>
    </r>
  </si>
  <si>
    <t>SEGURO DE VIDA</t>
  </si>
  <si>
    <t>TOTAL DE ENTRADAS</t>
  </si>
  <si>
    <r>
      <rPr>
        <rFont val="Calibri"/>
        <color theme="1"/>
        <sz val="11.0"/>
      </rPr>
      <t xml:space="preserve">INVESTIMENTOS </t>
    </r>
    <r>
      <rPr>
        <rFont val="Calibri"/>
        <i/>
        <color theme="1"/>
        <sz val="9.0"/>
      </rPr>
      <t>- AMORTIZAR FINANCIAMENTO</t>
    </r>
  </si>
  <si>
    <t>IMPOSTO MEI</t>
  </si>
  <si>
    <t xml:space="preserve">TERAPIA </t>
  </si>
  <si>
    <t>SE SUA PLANILHA ESTIVER CORRETA, 
TODO MÊS VAI TE SOBRAR ESTE VALOR:</t>
  </si>
  <si>
    <t>NÃO ESSENCIAIS</t>
  </si>
  <si>
    <r>
      <rPr>
        <rFont val="Calibri"/>
        <color theme="1"/>
        <sz val="11.0"/>
      </rPr>
      <t xml:space="preserve">CARTÃO DE CRÉDITO </t>
    </r>
    <r>
      <rPr>
        <rFont val="Calibri"/>
        <i/>
        <color theme="1"/>
        <sz val="9.0"/>
      </rPr>
      <t>(EVITE USAR!)</t>
    </r>
  </si>
  <si>
    <t>COMBUSTÍVEL</t>
  </si>
  <si>
    <t>NESTE CENÁRIO, SUA RESERVA DE EMERGÊNCIA              IDEAL SERIA NO VALOR DE:</t>
  </si>
  <si>
    <t>FARMÁCIA</t>
  </si>
  <si>
    <t>GASTOS COM ANIMAIS</t>
  </si>
  <si>
    <r>
      <rPr>
        <rFont val="Calibri"/>
        <color theme="1"/>
        <sz val="11.0"/>
      </rPr>
      <t xml:space="preserve">GASTOS IMPREVISTOS </t>
    </r>
    <r>
      <rPr>
        <rFont val="Calibri"/>
        <i/>
        <color theme="1"/>
        <sz val="9.0"/>
      </rPr>
      <t>(VALOR MÉDIO)</t>
    </r>
  </si>
  <si>
    <r>
      <rPr>
        <rFont val="Calibri"/>
        <color theme="1"/>
        <sz val="11.0"/>
      </rPr>
      <t xml:space="preserve">GASTOS COM TRANSPORTE </t>
    </r>
    <r>
      <rPr>
        <rFont val="Calibri"/>
        <i/>
        <color theme="1"/>
        <sz val="9.0"/>
      </rPr>
      <t>(ÔNIBUS/TREM/UBER)</t>
    </r>
  </si>
  <si>
    <r>
      <rPr>
        <rFont val="Calibri"/>
        <color theme="1"/>
        <sz val="11.0"/>
      </rPr>
      <t xml:space="preserve">GASTOS COM VEÍCULO </t>
    </r>
    <r>
      <rPr>
        <rFont val="Calibri"/>
        <i/>
        <color theme="1"/>
        <sz val="9.0"/>
      </rPr>
      <t>(CARRO/MOTO/FINANCIAMENTO)</t>
    </r>
  </si>
  <si>
    <t>INTERNET RESIDENCIAL</t>
  </si>
  <si>
    <t>NETFLIX/AMAZON/NET</t>
  </si>
  <si>
    <t>PADARIA/FEIRA</t>
  </si>
  <si>
    <t>SAÍDAS/CINEMA/LAZER</t>
  </si>
  <si>
    <t>SALÃO/MANICURE/DEPILAÇÃO</t>
  </si>
  <si>
    <r>
      <rPr>
        <rFont val="Calibri"/>
        <color theme="1"/>
        <sz val="11.0"/>
      </rPr>
      <t xml:space="preserve">TARIFAS BANCÁRIAS </t>
    </r>
    <r>
      <rPr>
        <rFont val="Calibri"/>
        <i/>
        <color theme="1"/>
        <sz val="9.0"/>
      </rPr>
      <t>(PEÇA ISENÇÃO DESSAS TAXAS NO BANCO!)</t>
    </r>
  </si>
  <si>
    <t>TELEFONIA/CELULAR</t>
  </si>
  <si>
    <r>
      <rPr>
        <rFont val="Calibri"/>
        <color theme="1"/>
        <sz val="11.0"/>
      </rPr>
      <t xml:space="preserve">OUTRAS DESPESAS 01 </t>
    </r>
    <r>
      <rPr>
        <rFont val="Calibri"/>
        <i/>
        <color theme="1"/>
        <sz val="9.0"/>
      </rPr>
      <t>(IPVA, SEGURO, TRATAMENTO MÉDICO...)</t>
    </r>
  </si>
  <si>
    <r>
      <rPr>
        <rFont val="Calibri"/>
        <color theme="1"/>
        <sz val="11.0"/>
      </rPr>
      <t xml:space="preserve">OUTRAS DESPESAS 02 </t>
    </r>
    <r>
      <rPr>
        <rFont val="Calibri"/>
        <i/>
        <color theme="1"/>
        <sz val="9.0"/>
      </rPr>
      <t>(CURSOS, INGLÊS...)</t>
    </r>
  </si>
  <si>
    <t>Se não souber como preencher esta planilha, assista a aula abaixo: https://www.youtube.com/watch?v=SJ7-ImU4UYc</t>
  </si>
  <si>
    <t>PARCELAMENTO DO NOTEBOOK</t>
  </si>
  <si>
    <t>TOTAL DE DESPESAS ESSENCIAIS</t>
  </si>
  <si>
    <t>TOTAL DE DESPESAS NÃO ESSENCIAIS</t>
  </si>
  <si>
    <t>TOTAL GERAL DE DESPESAS</t>
  </si>
  <si>
    <t>IPTU PALHOÇA</t>
  </si>
  <si>
    <t>IMPOSTO DAS MEI 1981 ROAD BAR</t>
  </si>
  <si>
    <r>
      <rPr>
        <rFont val="Calibri"/>
        <color theme="1"/>
        <sz val="11.0"/>
      </rPr>
      <t>JOLIMONT</t>
    </r>
    <r>
      <rPr>
        <rFont val="Calibri"/>
        <i/>
        <color theme="1"/>
        <sz val="9.0"/>
      </rPr>
      <t xml:space="preserve"> </t>
    </r>
  </si>
  <si>
    <t>CARTÃO CREDITO</t>
  </si>
  <si>
    <t xml:space="preserve">IMPOSTO CNPJ WAM </t>
  </si>
  <si>
    <t>DIVIDA CARTORIO</t>
  </si>
  <si>
    <t>TOTAL DIVIDAS</t>
  </si>
  <si>
    <t>RESERVA EMERGENCIA</t>
  </si>
  <si>
    <t>CANIL &amp; GARAGEM COBERTA</t>
  </si>
  <si>
    <t>PISO CERAMICO</t>
  </si>
  <si>
    <t>CNH</t>
  </si>
  <si>
    <t xml:space="preserve">REFAZER MURO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</si>
</sst>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12">
    <font>
      <sz val="11.0"/>
      <color theme="1"/>
      <name val="Calibri"/>
      <scheme val="minor"/>
    </font>
    <font>
      <b/>
      <sz val="26.0"/>
      <color theme="1"/>
      <name val="Calibri"/>
    </font>
    <font>
      <b/>
      <sz val="14.0"/>
      <color theme="1"/>
      <name val="Calibri"/>
    </font>
    <font>
      <i/>
      <sz val="10.0"/>
      <color theme="1"/>
      <name val="Calibri"/>
    </font>
    <font>
      <b/>
      <sz val="16.0"/>
      <color rgb="FFFFFF00"/>
      <name val="Calibri"/>
    </font>
    <font/>
    <font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7.0"/>
      <color theme="1"/>
      <name val="Calibri"/>
    </font>
    <font>
      <b/>
      <sz val="11.0"/>
      <color rgb="FFFFCC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right/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top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0" fillId="0" fontId="6" numFmtId="0" xfId="0" applyAlignment="1" applyFont="1">
      <alignment vertical="center"/>
    </xf>
    <xf borderId="3" fillId="0" fontId="5" numFmtId="0" xfId="0" applyBorder="1" applyFont="1"/>
    <xf borderId="4" fillId="3" fontId="7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" fillId="3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left" vertical="center"/>
    </xf>
    <xf borderId="8" fillId="0" fontId="8" numFmtId="164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horizontal="center" textRotation="90" vertical="center"/>
    </xf>
    <xf borderId="7" fillId="0" fontId="8" numFmtId="0" xfId="0" applyAlignment="1" applyBorder="1" applyFont="1">
      <alignment vertical="center"/>
    </xf>
    <xf borderId="10" fillId="0" fontId="8" numFmtId="164" xfId="0" applyAlignment="1" applyBorder="1" applyFont="1" applyNumberFormat="1">
      <alignment horizontal="center" readingOrder="0" vertical="center"/>
    </xf>
    <xf borderId="11" fillId="0" fontId="8" numFmtId="0" xfId="0" applyAlignment="1" applyBorder="1" applyFont="1">
      <alignment horizontal="left" vertical="center"/>
    </xf>
    <xf borderId="10" fillId="0" fontId="8" numFmtId="164" xfId="0" applyAlignment="1" applyBorder="1" applyFont="1" applyNumberFormat="1">
      <alignment horizontal="center" vertical="center"/>
    </xf>
    <xf borderId="12" fillId="0" fontId="5" numFmtId="0" xfId="0" applyBorder="1" applyFont="1"/>
    <xf borderId="11" fillId="0" fontId="8" numFmtId="0" xfId="0" applyAlignment="1" applyBorder="1" applyFont="1">
      <alignment vertical="center"/>
    </xf>
    <xf borderId="13" fillId="0" fontId="8" numFmtId="0" xfId="0" applyAlignment="1" applyBorder="1" applyFont="1">
      <alignment horizontal="left" vertical="center"/>
    </xf>
    <xf borderId="11" fillId="0" fontId="8" numFmtId="0" xfId="0" applyAlignment="1" applyBorder="1" applyFont="1">
      <alignment readingOrder="0" vertical="center"/>
    </xf>
    <xf borderId="14" fillId="0" fontId="8" numFmtId="164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readingOrder="0" vertical="center"/>
    </xf>
    <xf borderId="14" fillId="0" fontId="8" numFmtId="164" xfId="0" applyAlignment="1" applyBorder="1" applyFont="1" applyNumberFormat="1">
      <alignment horizontal="center" readingOrder="0" vertical="center"/>
    </xf>
    <xf borderId="13" fillId="0" fontId="8" numFmtId="0" xfId="0" applyAlignment="1" applyBorder="1" applyFont="1">
      <alignment horizontal="left" readingOrder="0" vertical="center"/>
    </xf>
    <xf borderId="4" fillId="3" fontId="7" numFmtId="0" xfId="0" applyAlignment="1" applyBorder="1" applyFont="1">
      <alignment vertical="center"/>
    </xf>
    <xf borderId="5" fillId="3" fontId="7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15" fillId="0" fontId="5" numFmtId="0" xfId="0" applyBorder="1" applyFont="1"/>
    <xf borderId="9" fillId="3" fontId="7" numFmtId="0" xfId="0" applyAlignment="1" applyBorder="1" applyFont="1">
      <alignment horizontal="center" shrinkToFit="0" vertical="center" wrapText="1"/>
    </xf>
    <xf borderId="9" fillId="0" fontId="9" numFmtId="164" xfId="0" applyAlignment="1" applyBorder="1" applyFont="1" applyNumberFormat="1">
      <alignment horizontal="center" vertical="center"/>
    </xf>
    <xf borderId="16" fillId="0" fontId="8" numFmtId="0" xfId="0" applyAlignment="1" applyBorder="1" applyFont="1">
      <alignment vertical="center"/>
    </xf>
    <xf borderId="17" fillId="0" fontId="8" numFmtId="164" xfId="0" applyAlignment="1" applyBorder="1" applyFont="1" applyNumberFormat="1">
      <alignment horizontal="center" readingOrder="0" vertical="center"/>
    </xf>
    <xf borderId="0" fillId="0" fontId="10" numFmtId="164" xfId="0" applyAlignment="1" applyFont="1" applyNumberFormat="1">
      <alignment horizontal="right" vertical="top"/>
    </xf>
    <xf borderId="0" fillId="0" fontId="11" numFmtId="0" xfId="0" applyAlignment="1" applyFont="1">
      <alignment horizontal="center" shrinkToFit="0" vertical="center" wrapText="1"/>
    </xf>
    <xf borderId="13" fillId="0" fontId="8" numFmtId="0" xfId="0" applyAlignment="1" applyBorder="1" applyFont="1">
      <alignment vertical="center"/>
    </xf>
    <xf borderId="18" fillId="2" fontId="11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20" fillId="0" fontId="8" numFmtId="0" xfId="0" applyAlignment="1" applyBorder="1" applyFont="1">
      <alignment readingOrder="0" vertical="center"/>
    </xf>
    <xf borderId="21" fillId="0" fontId="8" numFmtId="164" xfId="0" applyAlignment="1" applyBorder="1" applyFont="1" applyNumberFormat="1">
      <alignment horizontal="center" readingOrder="0" vertical="center"/>
    </xf>
    <xf borderId="22" fillId="0" fontId="5" numFmtId="0" xfId="0" applyBorder="1" applyFont="1"/>
    <xf borderId="23" fillId="0" fontId="5" numFmtId="0" xfId="0" applyBorder="1" applyFont="1"/>
    <xf borderId="6" fillId="3" fontId="7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readingOrder="0" vertical="center"/>
    </xf>
    <xf borderId="4" fillId="3" fontId="7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647700</xdr:colOff>
      <xdr:row>23</xdr:row>
      <xdr:rowOff>76200</xdr:rowOff>
    </xdr:from>
    <xdr:ext cx="2828925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46.86"/>
    <col customWidth="1" min="3" max="3" width="12.86"/>
    <col customWidth="1" min="4" max="4" width="8.71"/>
    <col customWidth="1" min="5" max="5" width="4.14"/>
    <col customWidth="1" min="6" max="6" width="52.29"/>
    <col customWidth="1" min="7" max="7" width="15.14"/>
    <col customWidth="1" min="8" max="26" width="8.71"/>
  </cols>
  <sheetData>
    <row r="1" ht="3.75" customHeight="1"/>
    <row r="2">
      <c r="B2" s="1" t="s">
        <v>0</v>
      </c>
    </row>
    <row r="3">
      <c r="B3" s="2"/>
      <c r="C3" s="2"/>
      <c r="D3" s="2"/>
      <c r="E3" s="2"/>
      <c r="F3" s="3" t="s">
        <v>1</v>
      </c>
    </row>
    <row r="4" ht="24.75" customHeight="1">
      <c r="B4" s="4" t="s">
        <v>2</v>
      </c>
      <c r="C4" s="5"/>
      <c r="D4" s="6"/>
      <c r="E4" s="4" t="s">
        <v>3</v>
      </c>
      <c r="F4" s="7"/>
      <c r="G4" s="5"/>
    </row>
    <row r="5" ht="18.0" customHeight="1">
      <c r="B5" s="8" t="s">
        <v>4</v>
      </c>
      <c r="C5" s="9" t="s">
        <v>5</v>
      </c>
      <c r="D5" s="10"/>
      <c r="E5" s="11" t="s">
        <v>4</v>
      </c>
      <c r="F5" s="5"/>
      <c r="G5" s="12" t="s">
        <v>6</v>
      </c>
    </row>
    <row r="6" ht="15.0" customHeight="1">
      <c r="B6" s="13" t="s">
        <v>7</v>
      </c>
      <c r="C6" s="14">
        <v>2500.0</v>
      </c>
      <c r="D6" s="10"/>
      <c r="E6" s="15" t="s">
        <v>8</v>
      </c>
      <c r="F6" s="16" t="s">
        <v>9</v>
      </c>
      <c r="G6" s="17">
        <v>1450.0</v>
      </c>
    </row>
    <row r="7" ht="15.0" customHeight="1">
      <c r="B7" s="18" t="s">
        <v>10</v>
      </c>
      <c r="C7" s="19">
        <v>0.0</v>
      </c>
      <c r="D7" s="10"/>
      <c r="E7" s="20"/>
      <c r="F7" s="21" t="s">
        <v>11</v>
      </c>
      <c r="G7" s="19">
        <v>0.0</v>
      </c>
    </row>
    <row r="8" ht="15.0" customHeight="1">
      <c r="B8" s="22" t="s">
        <v>12</v>
      </c>
      <c r="C8" s="19">
        <v>0.0</v>
      </c>
      <c r="D8" s="10"/>
      <c r="E8" s="20"/>
      <c r="F8" s="21" t="s">
        <v>13</v>
      </c>
      <c r="G8" s="17">
        <v>800.0</v>
      </c>
    </row>
    <row r="9" ht="15.0" customHeight="1">
      <c r="B9" s="18" t="s">
        <v>14</v>
      </c>
      <c r="C9" s="17">
        <v>0.0</v>
      </c>
      <c r="D9" s="10"/>
      <c r="E9" s="20"/>
      <c r="F9" s="23" t="s">
        <v>15</v>
      </c>
      <c r="G9" s="17">
        <v>120.0</v>
      </c>
    </row>
    <row r="10" ht="15.0" customHeight="1">
      <c r="B10" s="22" t="s">
        <v>16</v>
      </c>
      <c r="C10" s="24">
        <v>0.0</v>
      </c>
      <c r="D10" s="10"/>
      <c r="E10" s="20"/>
      <c r="F10" s="25" t="s">
        <v>17</v>
      </c>
      <c r="G10" s="26">
        <v>140.0</v>
      </c>
    </row>
    <row r="11" ht="15.0" customHeight="1">
      <c r="B11" s="22" t="s">
        <v>18</v>
      </c>
      <c r="C11" s="24">
        <v>0.0</v>
      </c>
      <c r="D11" s="10"/>
      <c r="E11" s="20"/>
      <c r="F11" s="25" t="s">
        <v>19</v>
      </c>
      <c r="G11" s="26">
        <v>40.0</v>
      </c>
    </row>
    <row r="12" ht="15.0" customHeight="1">
      <c r="B12" s="27" t="s">
        <v>20</v>
      </c>
      <c r="C12" s="17">
        <v>580.0</v>
      </c>
      <c r="D12" s="10"/>
      <c r="E12" s="20"/>
      <c r="F12" s="25" t="s">
        <v>21</v>
      </c>
      <c r="G12" s="26">
        <v>160.0</v>
      </c>
    </row>
    <row r="13" ht="15.0" customHeight="1">
      <c r="B13" s="27" t="s">
        <v>22</v>
      </c>
      <c r="C13" s="26">
        <v>1400.0</v>
      </c>
      <c r="D13" s="10"/>
      <c r="E13" s="20"/>
      <c r="F13" s="25" t="s">
        <v>23</v>
      </c>
      <c r="G13" s="24">
        <v>0.0</v>
      </c>
    </row>
    <row r="14" ht="15.0" customHeight="1">
      <c r="B14" s="22" t="s">
        <v>24</v>
      </c>
      <c r="C14" s="26">
        <v>800.0</v>
      </c>
      <c r="D14" s="10"/>
      <c r="E14" s="20"/>
      <c r="F14" s="25" t="s">
        <v>25</v>
      </c>
      <c r="G14" s="26">
        <v>50.0</v>
      </c>
    </row>
    <row r="15" ht="15.0" customHeight="1">
      <c r="B15" s="28" t="s">
        <v>26</v>
      </c>
      <c r="C15" s="29">
        <f>SUM(C6:C14)</f>
        <v>5280</v>
      </c>
      <c r="D15" s="10"/>
      <c r="E15" s="20"/>
      <c r="F15" s="25" t="s">
        <v>27</v>
      </c>
      <c r="G15" s="26">
        <v>0.0</v>
      </c>
    </row>
    <row r="16" ht="15.0" customHeight="1">
      <c r="B16" s="10"/>
      <c r="C16" s="30"/>
      <c r="D16" s="10"/>
      <c r="E16" s="20"/>
      <c r="F16" s="23" t="s">
        <v>28</v>
      </c>
      <c r="G16" s="17">
        <v>130.0</v>
      </c>
    </row>
    <row r="17" ht="15.0" customHeight="1">
      <c r="B17" s="10"/>
      <c r="C17" s="30"/>
      <c r="D17" s="10"/>
      <c r="E17" s="31"/>
      <c r="F17" s="25" t="s">
        <v>29</v>
      </c>
      <c r="G17" s="26">
        <v>40.0</v>
      </c>
    </row>
    <row r="18" ht="15.0" customHeight="1">
      <c r="B18" s="32" t="s">
        <v>30</v>
      </c>
      <c r="C18" s="33">
        <f>C15-G37</f>
        <v>185</v>
      </c>
      <c r="D18" s="10"/>
      <c r="E18" s="15" t="s">
        <v>31</v>
      </c>
      <c r="F18" s="34" t="s">
        <v>32</v>
      </c>
      <c r="G18" s="35">
        <v>0.0</v>
      </c>
    </row>
    <row r="19" ht="15.0" customHeight="1">
      <c r="B19" s="31"/>
      <c r="C19" s="31"/>
      <c r="D19" s="10"/>
      <c r="E19" s="20"/>
      <c r="F19" s="16" t="s">
        <v>33</v>
      </c>
      <c r="G19" s="14">
        <v>600.0</v>
      </c>
    </row>
    <row r="20" ht="15.0" customHeight="1">
      <c r="B20" s="32" t="s">
        <v>34</v>
      </c>
      <c r="C20" s="33">
        <f>G35*6</f>
        <v>17580</v>
      </c>
      <c r="D20" s="10"/>
      <c r="E20" s="20"/>
      <c r="F20" s="21" t="s">
        <v>35</v>
      </c>
      <c r="G20" s="19">
        <v>0.0</v>
      </c>
    </row>
    <row r="21" ht="15.0" customHeight="1">
      <c r="B21" s="31"/>
      <c r="C21" s="31"/>
      <c r="D21" s="10"/>
      <c r="E21" s="20"/>
      <c r="F21" s="21" t="s">
        <v>36</v>
      </c>
      <c r="G21" s="17">
        <v>1000.0</v>
      </c>
    </row>
    <row r="22" ht="15.0" customHeight="1">
      <c r="B22" s="10"/>
      <c r="C22" s="36"/>
      <c r="D22" s="10"/>
      <c r="E22" s="20"/>
      <c r="F22" s="21" t="s">
        <v>37</v>
      </c>
      <c r="G22" s="19">
        <v>255.0</v>
      </c>
    </row>
    <row r="23" ht="15.0" customHeight="1">
      <c r="B23" s="10"/>
      <c r="C23" s="30"/>
      <c r="D23" s="10"/>
      <c r="E23" s="20"/>
      <c r="F23" s="21" t="s">
        <v>38</v>
      </c>
      <c r="G23" s="17">
        <v>0.0</v>
      </c>
    </row>
    <row r="24" ht="15.0" customHeight="1">
      <c r="B24" s="10"/>
      <c r="C24" s="30"/>
      <c r="D24" s="10"/>
      <c r="E24" s="20"/>
      <c r="F24" s="21" t="s">
        <v>39</v>
      </c>
      <c r="G24" s="19">
        <v>0.0</v>
      </c>
    </row>
    <row r="25" ht="15.0" customHeight="1">
      <c r="B25" s="10"/>
      <c r="C25" s="30"/>
      <c r="D25" s="10"/>
      <c r="E25" s="20"/>
      <c r="F25" s="21" t="s">
        <v>40</v>
      </c>
      <c r="G25" s="19">
        <v>150.0</v>
      </c>
    </row>
    <row r="26" ht="15.0" customHeight="1">
      <c r="B26" s="10"/>
      <c r="C26" s="30"/>
      <c r="D26" s="10"/>
      <c r="E26" s="20"/>
      <c r="F26" s="21" t="s">
        <v>41</v>
      </c>
      <c r="G26" s="17">
        <v>0.0</v>
      </c>
    </row>
    <row r="27" ht="15.0" customHeight="1">
      <c r="B27" s="10"/>
      <c r="C27" s="30"/>
      <c r="D27" s="10"/>
      <c r="E27" s="20"/>
      <c r="F27" s="21" t="s">
        <v>42</v>
      </c>
      <c r="G27" s="17">
        <v>0.0</v>
      </c>
    </row>
    <row r="28" ht="15.0" customHeight="1">
      <c r="B28" s="10"/>
      <c r="C28" s="30"/>
      <c r="D28" s="10"/>
      <c r="E28" s="20"/>
      <c r="F28" s="21" t="s">
        <v>43</v>
      </c>
      <c r="G28" s="19">
        <v>0.0</v>
      </c>
    </row>
    <row r="29" ht="15.0" customHeight="1">
      <c r="B29" s="37"/>
      <c r="D29" s="10"/>
      <c r="E29" s="20"/>
      <c r="F29" s="21" t="s">
        <v>44</v>
      </c>
      <c r="G29" s="17">
        <v>70.0</v>
      </c>
    </row>
    <row r="30" ht="15.0" customHeight="1">
      <c r="D30" s="10"/>
      <c r="E30" s="20"/>
      <c r="F30" s="21" t="s">
        <v>45</v>
      </c>
      <c r="G30" s="19">
        <v>0.0</v>
      </c>
    </row>
    <row r="31" ht="15.0" customHeight="1">
      <c r="B31" s="37"/>
      <c r="C31" s="37"/>
      <c r="D31" s="10"/>
      <c r="E31" s="20"/>
      <c r="F31" s="21" t="s">
        <v>46</v>
      </c>
      <c r="G31" s="17">
        <v>90.0</v>
      </c>
    </row>
    <row r="32" ht="15.0" customHeight="1">
      <c r="D32" s="10"/>
      <c r="E32" s="20"/>
      <c r="F32" s="21" t="s">
        <v>47</v>
      </c>
      <c r="G32" s="19">
        <v>0.0</v>
      </c>
    </row>
    <row r="33" ht="18.0" customHeight="1">
      <c r="D33" s="10"/>
      <c r="E33" s="20"/>
      <c r="F33" s="38" t="s">
        <v>48</v>
      </c>
      <c r="G33" s="24">
        <v>0.0</v>
      </c>
    </row>
    <row r="34" ht="18.0" customHeight="1">
      <c r="B34" s="39" t="s">
        <v>49</v>
      </c>
      <c r="C34" s="40"/>
      <c r="D34" s="10"/>
      <c r="E34" s="31"/>
      <c r="F34" s="41" t="s">
        <v>50</v>
      </c>
      <c r="G34" s="42">
        <v>0.0</v>
      </c>
    </row>
    <row r="35" ht="18.0" customHeight="1">
      <c r="B35" s="43"/>
      <c r="C35" s="44"/>
      <c r="E35" s="11" t="s">
        <v>51</v>
      </c>
      <c r="F35" s="5"/>
      <c r="G35" s="45">
        <f>SUM(G6:G17)</f>
        <v>2930</v>
      </c>
    </row>
    <row r="36" ht="15.75" customHeight="1">
      <c r="E36" s="11" t="s">
        <v>52</v>
      </c>
      <c r="F36" s="5"/>
      <c r="G36" s="45">
        <f>SUM(G18:G34)</f>
        <v>2165</v>
      </c>
    </row>
    <row r="37" ht="15.75" customHeight="1">
      <c r="E37" s="11" t="s">
        <v>53</v>
      </c>
      <c r="F37" s="5"/>
      <c r="G37" s="45">
        <f>G35+G36</f>
        <v>5095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6:E17"/>
    <mergeCell ref="E18:E34"/>
    <mergeCell ref="E35:F35"/>
    <mergeCell ref="E36:F36"/>
    <mergeCell ref="E37:F37"/>
    <mergeCell ref="B20:B21"/>
    <mergeCell ref="C20:C21"/>
    <mergeCell ref="B29:C30"/>
    <mergeCell ref="B34:C35"/>
    <mergeCell ref="B2:G2"/>
    <mergeCell ref="F3:G3"/>
    <mergeCell ref="B4:C4"/>
    <mergeCell ref="E4:G4"/>
    <mergeCell ref="E5:F5"/>
    <mergeCell ref="B18:B19"/>
    <mergeCell ref="C18:C19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29"/>
  </cols>
  <sheetData>
    <row r="1">
      <c r="A1" s="8" t="s">
        <v>4</v>
      </c>
      <c r="B1" s="9" t="s">
        <v>5</v>
      </c>
    </row>
    <row r="2">
      <c r="A2" s="46" t="s">
        <v>54</v>
      </c>
      <c r="B2" s="14"/>
    </row>
    <row r="3">
      <c r="A3" s="47" t="s">
        <v>55</v>
      </c>
      <c r="B3" s="17"/>
    </row>
    <row r="4">
      <c r="A4" s="27" t="s">
        <v>56</v>
      </c>
      <c r="B4" s="17"/>
    </row>
    <row r="5">
      <c r="A5" s="47" t="s">
        <v>57</v>
      </c>
      <c r="B5" s="17"/>
    </row>
    <row r="6">
      <c r="A6" s="27" t="s">
        <v>58</v>
      </c>
      <c r="B6" s="26"/>
    </row>
    <row r="7">
      <c r="A7" s="27" t="s">
        <v>59</v>
      </c>
      <c r="B7" s="24">
        <v>0.0</v>
      </c>
    </row>
    <row r="8">
      <c r="A8" s="22"/>
      <c r="B8" s="19">
        <v>0.0</v>
      </c>
    </row>
    <row r="9">
      <c r="A9" s="22"/>
      <c r="B9" s="24">
        <v>0.0</v>
      </c>
    </row>
    <row r="10">
      <c r="A10" s="22"/>
      <c r="B10" s="24">
        <v>0.0</v>
      </c>
    </row>
    <row r="11">
      <c r="A11" s="48" t="s">
        <v>60</v>
      </c>
      <c r="B11" s="29">
        <f>SUM(B2:B10)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</cols>
  <sheetData>
    <row r="1">
      <c r="A1" s="8" t="s">
        <v>4</v>
      </c>
      <c r="B1" s="9" t="s">
        <v>5</v>
      </c>
    </row>
    <row r="2">
      <c r="A2" s="46" t="s">
        <v>61</v>
      </c>
      <c r="B2" s="14">
        <v>20000.0</v>
      </c>
    </row>
    <row r="3">
      <c r="A3" s="47" t="s">
        <v>62</v>
      </c>
      <c r="B3" s="17">
        <v>12000.0</v>
      </c>
    </row>
    <row r="4">
      <c r="A4" s="27" t="s">
        <v>63</v>
      </c>
      <c r="B4" s="17">
        <v>8000.0</v>
      </c>
    </row>
    <row r="5">
      <c r="A5" s="47" t="s">
        <v>64</v>
      </c>
      <c r="B5" s="17">
        <v>1300.0</v>
      </c>
    </row>
    <row r="6">
      <c r="A6" s="27" t="s">
        <v>65</v>
      </c>
      <c r="B6" s="26">
        <v>3000.0</v>
      </c>
    </row>
    <row r="7">
      <c r="A7" s="27"/>
      <c r="B7" s="26"/>
    </row>
    <row r="8">
      <c r="A8" s="22"/>
      <c r="B8" s="19">
        <v>0.0</v>
      </c>
    </row>
    <row r="9">
      <c r="A9" s="22"/>
      <c r="B9" s="24">
        <v>0.0</v>
      </c>
    </row>
    <row r="10">
      <c r="A10" s="22"/>
      <c r="B10" s="24">
        <v>0.0</v>
      </c>
    </row>
    <row r="11">
      <c r="A11" s="48" t="s">
        <v>60</v>
      </c>
      <c r="B11" s="29">
        <f>SUM(B2:B10)</f>
        <v>44300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2019-03-19T21:08:18Z</dcterms:created>
  <dc:creator>Eduardo Feldberg</dc:creator>
</cp:coreProperties>
</file>